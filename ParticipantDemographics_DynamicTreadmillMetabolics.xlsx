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nnedykrieger-my.sharepoint.com/personal/bankscai_kennedykrieger_org/Documents/Brooke and Caitlin/Dynamic Treadmill/Data/CB Control Study/"/>
    </mc:Choice>
  </mc:AlternateContent>
  <xr:revisionPtr revIDLastSave="0" documentId="8_{1CACE13E-D545-4A25-8AB7-34A441D2C185}" xr6:coauthVersionLast="47" xr6:coauthVersionMax="47" xr10:uidLastSave="{00000000-0000-0000-0000-000000000000}"/>
  <bookViews>
    <workbookView xWindow="6075" yWindow="2100" windowWidth="19380" windowHeight="11985" xr2:uid="{9384EF0D-DDC1-4A42-B6A4-93C3E0E00F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2" i="1" l="1"/>
  <c r="D12" i="1"/>
  <c r="F11" i="1"/>
  <c r="D11" i="1"/>
  <c r="F10" i="1"/>
  <c r="D10" i="1"/>
  <c r="F9" i="1"/>
  <c r="D9" i="1"/>
  <c r="F8" i="1"/>
  <c r="D8" i="1"/>
  <c r="F7" i="1"/>
  <c r="D7" i="1"/>
  <c r="F6" i="1"/>
  <c r="D6" i="1"/>
  <c r="F5" i="1"/>
  <c r="D5" i="1"/>
  <c r="F4" i="1"/>
  <c r="D4" i="1"/>
  <c r="F3" i="1"/>
  <c r="F2" i="1"/>
  <c r="D2" i="1"/>
</calcChain>
</file>

<file path=xl/sharedStrings.xml><?xml version="1.0" encoding="utf-8"?>
<sst xmlns="http://schemas.openxmlformats.org/spreadsheetml/2006/main" count="89" uniqueCount="31">
  <si>
    <t>Subject Code</t>
  </si>
  <si>
    <t>Age</t>
  </si>
  <si>
    <t>Height_in</t>
  </si>
  <si>
    <t>Height_cm</t>
  </si>
  <si>
    <t>Weight_lbs</t>
  </si>
  <si>
    <t>Mass_kg</t>
  </si>
  <si>
    <t>Sex</t>
  </si>
  <si>
    <t>Gender</t>
  </si>
  <si>
    <t>Race</t>
  </si>
  <si>
    <t>Ethnicity</t>
  </si>
  <si>
    <t>Dominant Hand</t>
  </si>
  <si>
    <t>Dominant Leg</t>
  </si>
  <si>
    <t>GR0326</t>
  </si>
  <si>
    <t>M</t>
  </si>
  <si>
    <t>Asian</t>
  </si>
  <si>
    <t>NHL</t>
  </si>
  <si>
    <t>R</t>
  </si>
  <si>
    <t>GR0327</t>
  </si>
  <si>
    <t>GR0328</t>
  </si>
  <si>
    <t>GR0329</t>
  </si>
  <si>
    <t>GR0330</t>
  </si>
  <si>
    <t>GR0331</t>
  </si>
  <si>
    <t>F</t>
  </si>
  <si>
    <t>White</t>
  </si>
  <si>
    <t>GR0334</t>
  </si>
  <si>
    <t>GR0335</t>
  </si>
  <si>
    <t>GR0336</t>
  </si>
  <si>
    <t>MLR049</t>
  </si>
  <si>
    <t>African American</t>
  </si>
  <si>
    <t>MLR050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</si>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</sst>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72168-6441-4EDF-B7B7-29938318C5C6}">
  <dimension ref="A1:L12"/>
  <sheetViews>
    <sheetView tabSelected="1" workbookViewId="0">
      <selection activeCell="E15" sqref="E15"/>
    </sheetView>
  </sheetViews>
  <sheetFormatPr defaultRowHeight="15" x14ac:dyDescent="0.25"/>
  <cols>
    <col min="11" max="11" width="9.85546875" customWidth="1"/>
    <col min="12" max="12" width="10.5703125" customWidth="1"/>
  </cols>
  <sheetData>
    <row r="1" spans="1:12" ht="3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24</v>
      </c>
      <c r="C2">
        <v>67</v>
      </c>
      <c r="D2" s="2">
        <f>CONVERT(C2,"in","cm")</f>
        <v>170.18</v>
      </c>
      <c r="E2">
        <v>142</v>
      </c>
      <c r="F2" s="2">
        <f>CONVERT(E2,"lbm","kg")</f>
        <v>64.410116540000004</v>
      </c>
      <c r="G2" t="s">
        <v>13</v>
      </c>
      <c r="H2" t="s">
        <v>13</v>
      </c>
      <c r="I2" t="s">
        <v>14</v>
      </c>
      <c r="J2" t="s">
        <v>15</v>
      </c>
      <c r="K2" t="s">
        <v>16</v>
      </c>
      <c r="L2" t="s">
        <v>16</v>
      </c>
    </row>
    <row r="3" spans="1:12" x14ac:dyDescent="0.25">
      <c r="A3" t="s">
        <v>17</v>
      </c>
      <c r="B3">
        <v>31</v>
      </c>
      <c r="C3">
        <v>70</v>
      </c>
      <c r="D3" s="2">
        <v>178</v>
      </c>
      <c r="E3">
        <v>160</v>
      </c>
      <c r="F3" s="2">
        <f t="shared" ref="F3:F12" si="0">CONVERT(E3,"lbm","kg")</f>
        <v>72.574779200000009</v>
      </c>
      <c r="G3" t="s">
        <v>13</v>
      </c>
      <c r="H3" t="s">
        <v>13</v>
      </c>
      <c r="I3" t="s">
        <v>14</v>
      </c>
      <c r="J3" t="s">
        <v>15</v>
      </c>
      <c r="K3" t="s">
        <v>16</v>
      </c>
      <c r="L3" t="s">
        <v>16</v>
      </c>
    </row>
    <row r="4" spans="1:12" x14ac:dyDescent="0.25">
      <c r="A4" t="s">
        <v>18</v>
      </c>
      <c r="B4">
        <v>23</v>
      </c>
      <c r="C4">
        <v>70</v>
      </c>
      <c r="D4" s="2">
        <f t="shared" ref="D4:D12" si="1">CONVERT(C4,"in","cm")</f>
        <v>177.8</v>
      </c>
      <c r="E4">
        <v>215</v>
      </c>
      <c r="F4" s="2">
        <f t="shared" si="0"/>
        <v>97.522359550000004</v>
      </c>
      <c r="G4" t="s">
        <v>13</v>
      </c>
      <c r="H4" t="s">
        <v>13</v>
      </c>
      <c r="I4" t="s">
        <v>14</v>
      </c>
      <c r="J4" t="s">
        <v>15</v>
      </c>
      <c r="K4" t="s">
        <v>16</v>
      </c>
      <c r="L4" t="s">
        <v>16</v>
      </c>
    </row>
    <row r="5" spans="1:12" x14ac:dyDescent="0.25">
      <c r="A5" t="s">
        <v>19</v>
      </c>
      <c r="B5">
        <v>19</v>
      </c>
      <c r="C5">
        <v>70</v>
      </c>
      <c r="D5" s="2">
        <f t="shared" si="1"/>
        <v>177.8</v>
      </c>
      <c r="E5">
        <v>160</v>
      </c>
      <c r="F5" s="2">
        <f t="shared" si="0"/>
        <v>72.574779200000009</v>
      </c>
      <c r="G5" t="s">
        <v>13</v>
      </c>
      <c r="H5" t="s">
        <v>13</v>
      </c>
      <c r="I5" t="s">
        <v>14</v>
      </c>
      <c r="J5" t="s">
        <v>15</v>
      </c>
      <c r="K5" t="s">
        <v>16</v>
      </c>
      <c r="L5" t="s">
        <v>16</v>
      </c>
    </row>
    <row r="6" spans="1:12" x14ac:dyDescent="0.25">
      <c r="A6" t="s">
        <v>20</v>
      </c>
      <c r="B6">
        <v>22</v>
      </c>
      <c r="C6">
        <v>70</v>
      </c>
      <c r="D6" s="2">
        <f t="shared" si="1"/>
        <v>177.8</v>
      </c>
      <c r="E6">
        <v>125</v>
      </c>
      <c r="F6" s="2">
        <f t="shared" si="0"/>
        <v>56.699046250000002</v>
      </c>
      <c r="G6" t="s">
        <v>13</v>
      </c>
      <c r="H6" t="s">
        <v>13</v>
      </c>
      <c r="I6" t="s">
        <v>14</v>
      </c>
      <c r="J6" s="1" t="s">
        <v>15</v>
      </c>
      <c r="K6" t="s">
        <v>16</v>
      </c>
      <c r="L6" t="s">
        <v>16</v>
      </c>
    </row>
    <row r="7" spans="1:12" x14ac:dyDescent="0.25">
      <c r="A7" t="s">
        <v>21</v>
      </c>
      <c r="B7">
        <v>25</v>
      </c>
      <c r="C7">
        <v>68</v>
      </c>
      <c r="D7" s="2">
        <f t="shared" si="1"/>
        <v>172.72</v>
      </c>
      <c r="E7">
        <v>180</v>
      </c>
      <c r="F7" s="2">
        <f t="shared" si="0"/>
        <v>81.646626600000005</v>
      </c>
      <c r="G7" t="s">
        <v>22</v>
      </c>
      <c r="H7" t="s">
        <v>22</v>
      </c>
      <c r="I7" t="s">
        <v>23</v>
      </c>
      <c r="J7" t="s">
        <v>15</v>
      </c>
      <c r="K7" t="s">
        <v>16</v>
      </c>
      <c r="L7" t="s">
        <v>16</v>
      </c>
    </row>
    <row r="8" spans="1:12" x14ac:dyDescent="0.25">
      <c r="A8" t="s">
        <v>24</v>
      </c>
      <c r="B8">
        <v>25</v>
      </c>
      <c r="C8">
        <v>62</v>
      </c>
      <c r="D8" s="2">
        <f t="shared" si="1"/>
        <v>157.47999999999999</v>
      </c>
      <c r="E8">
        <v>105</v>
      </c>
      <c r="F8" s="2">
        <f t="shared" si="0"/>
        <v>47.627198849999999</v>
      </c>
      <c r="G8" t="s">
        <v>22</v>
      </c>
      <c r="H8" t="s">
        <v>22</v>
      </c>
      <c r="I8" t="s">
        <v>23</v>
      </c>
      <c r="J8" t="s">
        <v>15</v>
      </c>
      <c r="K8" t="s">
        <v>16</v>
      </c>
      <c r="L8" t="s">
        <v>16</v>
      </c>
    </row>
    <row r="9" spans="1:12" x14ac:dyDescent="0.25">
      <c r="A9" t="s">
        <v>25</v>
      </c>
      <c r="B9">
        <v>26</v>
      </c>
      <c r="C9">
        <v>65</v>
      </c>
      <c r="D9" s="2">
        <f t="shared" si="1"/>
        <v>165.1</v>
      </c>
      <c r="E9">
        <v>130</v>
      </c>
      <c r="F9" s="2">
        <f t="shared" si="0"/>
        <v>58.967008100000001</v>
      </c>
      <c r="G9" t="s">
        <v>22</v>
      </c>
      <c r="H9" t="s">
        <v>22</v>
      </c>
      <c r="I9" t="s">
        <v>23</v>
      </c>
      <c r="J9" t="s">
        <v>15</v>
      </c>
      <c r="K9" t="s">
        <v>16</v>
      </c>
      <c r="L9" t="s">
        <v>16</v>
      </c>
    </row>
    <row r="10" spans="1:12" x14ac:dyDescent="0.25">
      <c r="A10" t="s">
        <v>26</v>
      </c>
      <c r="B10">
        <v>25</v>
      </c>
      <c r="C10">
        <v>66</v>
      </c>
      <c r="D10" s="2">
        <f t="shared" si="1"/>
        <v>167.64</v>
      </c>
      <c r="E10">
        <v>120</v>
      </c>
      <c r="F10" s="2">
        <f t="shared" si="0"/>
        <v>54.431084400000003</v>
      </c>
      <c r="G10" t="s">
        <v>22</v>
      </c>
      <c r="H10" t="s">
        <v>22</v>
      </c>
      <c r="I10" t="s">
        <v>23</v>
      </c>
      <c r="J10" t="s">
        <v>15</v>
      </c>
      <c r="K10" t="s">
        <v>16</v>
      </c>
      <c r="L10" t="s">
        <v>16</v>
      </c>
    </row>
    <row r="11" spans="1:12" x14ac:dyDescent="0.25">
      <c r="A11" t="s">
        <v>27</v>
      </c>
      <c r="B11">
        <v>24</v>
      </c>
      <c r="C11">
        <v>64.5</v>
      </c>
      <c r="D11" s="2">
        <f t="shared" si="1"/>
        <v>163.83000000000001</v>
      </c>
      <c r="E11">
        <v>162</v>
      </c>
      <c r="F11" s="2">
        <f t="shared" si="0"/>
        <v>73.48196394</v>
      </c>
      <c r="G11" t="s">
        <v>22</v>
      </c>
      <c r="H11" t="s">
        <v>22</v>
      </c>
      <c r="I11" t="s">
        <v>28</v>
      </c>
      <c r="J11" t="s">
        <v>15</v>
      </c>
      <c r="K11" t="s">
        <v>16</v>
      </c>
      <c r="L11" t="s">
        <v>16</v>
      </c>
    </row>
    <row r="12" spans="1:12" x14ac:dyDescent="0.25">
      <c r="A12" t="s">
        <v>29</v>
      </c>
      <c r="B12">
        <v>21</v>
      </c>
      <c r="C12">
        <v>66</v>
      </c>
      <c r="D12" s="2">
        <f t="shared" si="1"/>
        <v>167.64</v>
      </c>
      <c r="E12">
        <v>132</v>
      </c>
      <c r="F12" s="2">
        <f t="shared" si="0"/>
        <v>59.874192840000006</v>
      </c>
      <c r="G12" t="s">
        <v>22</v>
      </c>
      <c r="H12" t="s">
        <v>22</v>
      </c>
      <c r="I12" t="s">
        <v>30</v>
      </c>
      <c r="J12" t="s">
        <v>15</v>
      </c>
      <c r="K12" t="s">
        <v>16</v>
      </c>
      <c r="L1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Banks, Caitlin L.</dc:creator>
  <cp:lastModifiedBy>Banks, Caitlin L.</cp:lastModifiedBy>
  <dcterms:created xsi:type="dcterms:W3CDTF">2026-06-24T17:46:32Z</dcterms:created>
  <dcterms:modified xsi:type="dcterms:W3CDTF">2026-06-24T17:48:29Z</dcterms:modified>
</cp:coreProperties>
</file>